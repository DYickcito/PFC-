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guntas" sheetId="1" state="visible" r:id="rId3"/>
    <sheet name="Resumen" sheetId="2" state="visible" r:id="rId4"/>
    <sheet name="Leyend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<sst xmlns="http://schemas.openxmlformats.org/spreadsheetml/2006/main" count="148" uniqueCount="96">
  <si>
    <t xml:space="preserve">N°</t>
  </si>
  <si>
    <t xml:space="preserve">Tipo</t>
  </si>
  <si>
    <t xml:space="preserve">Pregunta</t>
  </si>
  <si>
    <t xml:space="preserve">Respuesta esperada</t>
  </si>
  <si>
    <t xml:space="preserve">Documento fuente</t>
  </si>
  <si>
    <t xml:space="preserve">Respuesta obtenida (resumen)</t>
  </si>
  <si>
    <t xml:space="preserve">Usó documentos (Sí/No)</t>
  </si>
  <si>
    <t xml:space="preserve">Score máximo</t>
  </si>
  <si>
    <t xml:space="preserve">Tiempo (s)</t>
  </si>
  <si>
    <t xml:space="preserve">Resultado</t>
  </si>
  <si>
    <t xml:space="preserve">Observación</t>
  </si>
  <si>
    <t xml:space="preserve">Dentro del dominio</t>
  </si>
  <si>
    <t xml:space="preserve">¿Qué cursos se llevan en el tercer ciclo?</t>
  </si>
  <si>
    <t xml:space="preserve">Ciclo III: Desarrollo Web Backend, Base de Datos II, Diseño de Experiencia de Usuario, Sistemas Operativos y Redes, Análisis y Diseño de Software, Inglés Técnico II.</t>
  </si>
  <si>
    <t xml:space="preserve">Malla curricular (PDF)</t>
  </si>
  <si>
    <t xml:space="preserve">¿Cuántos créditos tiene Base de Datos II y cuántas horas a la semana?</t>
  </si>
  <si>
    <t xml:space="preserve">4 créditos y 5 horas semanales.</t>
  </si>
  <si>
    <t xml:space="preserve">¿Qué curso necesito aprobar antes de llevar Desarrollo de Aplicaciones Móviles?</t>
  </si>
  <si>
    <t xml:space="preserve">El prerrequisito es Desarrollo Web Backend.</t>
  </si>
  <si>
    <t xml:space="preserve">¿Cuántos ciclos dura la carrera y cuántos créditos tiene en total?</t>
  </si>
  <si>
    <t xml:space="preserve">Seis ciclos (tres años) y 131 créditos.</t>
  </si>
  <si>
    <t xml:space="preserve">¿De qué trata el curso de Arquitectura de Software?</t>
  </si>
  <si>
    <t xml:space="preserve">Estudia estilos y patrones de arquitectura (capas, MVC, hexagonal, eventos), atributos de calidad y documentación de decisiones. El curso termina con el diseño de la arquitectura de un sistema real.</t>
  </si>
  <si>
    <t xml:space="preserve">¿En qué ciclo se ve RAG o embeddings?</t>
  </si>
  <si>
    <t xml:space="preserve">En Inteligencia Artificial Aplicada, del V ciclo.</t>
  </si>
  <si>
    <t xml:space="preserve">¿Cuál es el porcentaje mínimo de asistencia?</t>
  </si>
  <si>
    <t xml:space="preserve">70 %; con más de 30 % de faltas queda inhabilitado (IPI), no rinde el final y su nota es 0.</t>
  </si>
  <si>
    <t xml:space="preserve">Reglamento y trámites (Word)</t>
  </si>
  <si>
    <t xml:space="preserve">¿Cómo se calcula la nota final de un curso?</t>
  </si>
  <si>
    <t xml:space="preserve">Laboratorios 30 %, tareas y proyectos 20 %, parcial 20 % y final 30 %.</t>
  </si>
  <si>
    <t xml:space="preserve">¿Con cuánto se aprueba un curso?</t>
  </si>
  <si>
    <t xml:space="preserve">Con 13 en escala de 0 a 20.</t>
  </si>
  <si>
    <t xml:space="preserve">¿Hasta cuándo me puedo retirar de un curso este ciclo?</t>
  </si>
  <si>
    <t xml:space="preserve">Hasta el viernes de la semana 6: viernes 25 de septiembre de 2026. Máximo dos cursos, sin devolución.</t>
  </si>
  <si>
    <t xml:space="preserve">Falté al examen parcial porque estaba enfermo, ¿qué hago?</t>
  </si>
  <si>
    <t xml:space="preserve">Pedir examen de rezagados por mesa de partes virtual dentro de 48 horas con certificado médico; cuesta S/ 40 y se rinde en la semana 17.</t>
  </si>
  <si>
    <t xml:space="preserve">¿Cuánto cuesta una constancia de estudios y cuánto demora?</t>
  </si>
  <si>
    <t xml:space="preserve">S/ 35, entrega en 3 días hábiles.</t>
  </si>
  <si>
    <t xml:space="preserve">¿Desde qué ciclo puedo hacer prácticas y cuántas horas necesito?</t>
  </si>
  <si>
    <t xml:space="preserve">Desde el V ciclo, con todo aprobado hasta el IV; mínimo 480 horas y convenio registrado.</t>
  </si>
  <si>
    <t xml:space="preserve">¿Quién es la coordinadora de la carrera y cómo la contacto?</t>
  </si>
  <si>
    <t xml:space="preserve">Mg. Lucía Paredes Rojas, coordinacion.dds@ejemplo-prueba.edu.pe, Pabellón B, segundo piso, oficina 204, lunes a viernes de 8:30 a 17:00.</t>
  </si>
  <si>
    <t xml:space="preserve">¿Qué días y a qué hora es Base de Datos II?</t>
  </si>
  <si>
    <t xml:space="preserve">Viernes de 08:00 a 11:00 en Lab. 305; Lunes de 11:15 a 13:15 en Lab. 306.</t>
  </si>
  <si>
    <t xml:space="preserve">Horarios y docentes (Excel)</t>
  </si>
  <si>
    <t xml:space="preserve">¿Quién dicta Inteligencia Artificial Aplicada?</t>
  </si>
  <si>
    <t xml:space="preserve">Dr. Fernando Ríos Cabrera.</t>
  </si>
  <si>
    <t xml:space="preserve">¿Cuál es el horario de atención de la profesora Andrea Quispe?</t>
  </si>
  <si>
    <t xml:space="preserve">Jueves de 15:00 a 17:00; correo andrea.quispe@docentes-prueba.edu.pe.</t>
  </si>
  <si>
    <t xml:space="preserve">¿Qué cursos dicta Sofía Chávez?</t>
  </si>
  <si>
    <t xml:space="preserve">Análisis y Diseño de Software, Arquitectura de Software, Arquitectura de Microservicios, Taller de Integración I, Taller de Integración II.</t>
  </si>
  <si>
    <t xml:space="preserve">¿Cuándo son los exámenes finales del ciclo 2026-II?</t>
  </si>
  <si>
    <t xml:space="preserve">Del lunes 30 de noviembre al viernes 4 de diciembre de 2026 (semana 16).</t>
  </si>
  <si>
    <t xml:space="preserve">¿Qué pasa con los exámenes parciales del 8 de octubre?</t>
  </si>
  <si>
    <t xml:space="preserve">Es feriado (Combate de Angamos); los exámenes de ese día pasan al sábado 10 de octubre.</t>
  </si>
  <si>
    <t xml:space="preserve">Fuera del dominio</t>
  </si>
  <si>
    <t xml:space="preserve">¿Cuál es la capital de Australia?</t>
  </si>
  <si>
    <t xml:space="preserve">Canberra. Debe avisar que no está en los documentos.</t>
  </si>
  <si>
    <t xml:space="preserve">Ninguno</t>
  </si>
  <si>
    <t xml:space="preserve">Dame una receta de lomo saltado</t>
  </si>
  <si>
    <t xml:space="preserve">Respuesta general con el aviso de que no está en los documentos.</t>
  </si>
  <si>
    <t xml:space="preserve">¿Quién ganó el Mundial de fútbol 2022?</t>
  </si>
  <si>
    <t xml:space="preserve">Argentina. Debe avisar que no está en los documentos.</t>
  </si>
  <si>
    <t xml:space="preserve">Explícame qué es una API REST</t>
  </si>
  <si>
    <t xml:space="preserve">Explicación general con el aviso. Si recupera la sumilla de Desarrollo Web Backend también es aceptable.</t>
  </si>
  <si>
    <t xml:space="preserve">¿Tecsup tiene residencia para estudiantes?</t>
  </si>
  <si>
    <t xml:space="preserve">No está en los documentos: debe avisarlo y no inventar datos de Tecsup.</t>
  </si>
  <si>
    <t xml:space="preserve">¿Cuánto cuesta la pensión de la carrera de Mecatrónica?</t>
  </si>
  <si>
    <t xml:space="preserve">No está en los documentos: debe avisarlo y derivar a la coordinación, sin inventar montos.</t>
  </si>
  <si>
    <t xml:space="preserve">¿A qué hora abre la biblioteca?</t>
  </si>
  <si>
    <t xml:space="preserve">No está en los documentos: debe avisarlo y no inventar un horario.</t>
  </si>
  <si>
    <t xml:space="preserve">¿Cuál es la nota mínima para aprobar en la universidad San Marcos?</t>
  </si>
  <si>
    <t xml:space="preserve">No está en los documentos; no debe responder con la regla de Tecsup como si fuera de otra institución.</t>
  </si>
  <si>
    <t xml:space="preserve">Indicador</t>
  </si>
  <si>
    <t xml:space="preserve">Total</t>
  </si>
  <si>
    <t xml:space="preserve">Preguntas planificadas</t>
  </si>
  <si>
    <t xml:space="preserve">Preguntas ejecutadas</t>
  </si>
  <si>
    <t xml:space="preserve">Respuestas correctas</t>
  </si>
  <si>
    <t xml:space="preserve">Respuestas parciales</t>
  </si>
  <si>
    <t xml:space="preserve">Respuestas incorrectas</t>
  </si>
  <si>
    <t xml:space="preserve">Precisión (correctas / ejecutadas)</t>
  </si>
  <si>
    <t xml:space="preserve">Enrutamiento acertado</t>
  </si>
  <si>
    <t xml:space="preserve">Score máximo promedio</t>
  </si>
  <si>
    <t xml:space="preserve">Score más bajo</t>
  </si>
  <si>
    <t xml:space="preserve">Score más alto</t>
  </si>
  <si>
    <t xml:space="preserve">Tiempo promedio de respuesta (s)</t>
  </si>
  <si>
    <t xml:space="preserve">Umbral sugerido (punto medio)</t>
  </si>
  <si>
    <t xml:space="preserve">Enrutamiento acertado: dentro del dominio cuenta las que sí usaron documentos; fuera del dominio, las que no los usaron. Umbral sugerido: punto medio entre el score más bajo de las preguntas dentro del dominio y el más alto de las de fuera. Si el primero es menor que el segundo, no hay un umbral que separe perfecto los dos grupos y hay que revisar esas preguntas.</t>
  </si>
  <si>
    <t xml:space="preserve">Cómo usar este plan de pruebas</t>
  </si>
  <si>
    <t xml:space="preserve">Las celdas en amarillo de la hoja Preguntas son las que se llenan al ejecutar cada consulta en el sistema.</t>
  </si>
  <si>
    <t xml:space="preserve">Respuesta obtenida: resumen corto de lo que respondió el sistema.</t>
  </si>
  <si>
    <t xml:space="preserve">Usó documentos: Sí si apareció la etiqueta 'Basada en documentos oficiales'; No si apareció 'Sin información en los documentos cargados'.</t>
  </si>
  <si>
    <t xml:space="preserve">Score máximo y Tiempo: el chat muestra el tiempo; el score sale en las fuentes citadas o en la tabla consulta de Supabase (columnas score_max y tiempo_ms).</t>
  </si>
  <si>
    <t xml:space="preserve">Resultado: Correcta si coincide con la respuesta esperada; Parcial si le falta un dato; Incorrecta si inventa o se equivoca.</t>
  </si>
  <si>
    <t xml:space="preserve">Ejemplo de fila llenada: Respuesta obtenida 'Con 13, escala de 0 a 20' | Usó documentos Sí | Score 0.712 | Tiempo 2.4 | Resultado Correcta.</t>
  </si>
  <si>
    <t xml:space="preserve">Los documentos de prueba y todos sus datos son ficticios; no corresponden a la información oficial de Tecsup.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</si>
</sst>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"/>
    <numFmt numFmtId="167" formatCode="General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7CC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42"/>
    <col collapsed="false" customWidth="true" hidden="false" outlineLevel="0" max="4" min="4" style="0" width="52"/>
    <col collapsed="false" customWidth="true" hidden="false" outlineLevel="0" max="5" min="5" style="0" width="26"/>
    <col collapsed="false" customWidth="true" hidden="false" outlineLevel="0" max="6" min="6" style="0" width="45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3"/>
      <c r="G2" s="3"/>
      <c r="H2" s="4"/>
      <c r="I2" s="5"/>
      <c r="J2" s="3"/>
      <c r="K2" s="3"/>
    </row>
    <row r="3" customFormat="false" ht="23.85" hidden="false" customHeight="false" outlineLevel="0" collapsed="false">
      <c r="A3" s="2" t="n">
        <v>2</v>
      </c>
      <c r="B3" s="2" t="s">
        <v>11</v>
      </c>
      <c r="C3" s="2" t="s">
        <v>15</v>
      </c>
      <c r="D3" s="2" t="s">
        <v>16</v>
      </c>
      <c r="E3" s="2" t="s">
        <v>14</v>
      </c>
      <c r="F3" s="3"/>
      <c r="G3" s="3"/>
      <c r="H3" s="4"/>
      <c r="I3" s="5"/>
      <c r="J3" s="3"/>
      <c r="K3" s="3"/>
    </row>
    <row r="4" customFormat="false" ht="23.85" hidden="false" customHeight="false" outlineLevel="0" collapsed="false">
      <c r="A4" s="2" t="n">
        <v>3</v>
      </c>
      <c r="B4" s="2" t="s">
        <v>11</v>
      </c>
      <c r="C4" s="2" t="s">
        <v>17</v>
      </c>
      <c r="D4" s="2" t="s">
        <v>18</v>
      </c>
      <c r="E4" s="2" t="s">
        <v>14</v>
      </c>
      <c r="F4" s="3"/>
      <c r="G4" s="3"/>
      <c r="H4" s="4"/>
      <c r="I4" s="5"/>
      <c r="J4" s="3"/>
      <c r="K4" s="3"/>
    </row>
    <row r="5" customFormat="false" ht="23.85" hidden="false" customHeight="false" outlineLevel="0" collapsed="false">
      <c r="A5" s="2" t="n">
        <v>4</v>
      </c>
      <c r="B5" s="2" t="s">
        <v>11</v>
      </c>
      <c r="C5" s="2" t="s">
        <v>19</v>
      </c>
      <c r="D5" s="2" t="s">
        <v>20</v>
      </c>
      <c r="E5" s="2" t="s">
        <v>14</v>
      </c>
      <c r="F5" s="3"/>
      <c r="G5" s="3"/>
      <c r="H5" s="4"/>
      <c r="I5" s="5"/>
      <c r="J5" s="3"/>
      <c r="K5" s="3"/>
    </row>
    <row r="6" customFormat="false" ht="46.25" hidden="false" customHeight="false" outlineLevel="0" collapsed="false">
      <c r="A6" s="2" t="n">
        <v>5</v>
      </c>
      <c r="B6" s="2" t="s">
        <v>11</v>
      </c>
      <c r="C6" s="2" t="s">
        <v>21</v>
      </c>
      <c r="D6" s="2" t="s">
        <v>22</v>
      </c>
      <c r="E6" s="2" t="s">
        <v>14</v>
      </c>
      <c r="F6" s="3"/>
      <c r="G6" s="3"/>
      <c r="H6" s="4"/>
      <c r="I6" s="5"/>
      <c r="J6" s="3"/>
      <c r="K6" s="3"/>
    </row>
    <row r="7" customFormat="false" ht="15" hidden="false" customHeight="false" outlineLevel="0" collapsed="false">
      <c r="A7" s="2" t="n">
        <v>6</v>
      </c>
      <c r="B7" s="2" t="s">
        <v>11</v>
      </c>
      <c r="C7" s="2" t="s">
        <v>23</v>
      </c>
      <c r="D7" s="2" t="s">
        <v>24</v>
      </c>
      <c r="E7" s="2" t="s">
        <v>14</v>
      </c>
      <c r="F7" s="3"/>
      <c r="G7" s="3"/>
      <c r="H7" s="4"/>
      <c r="I7" s="5"/>
      <c r="J7" s="3"/>
      <c r="K7" s="3"/>
    </row>
    <row r="8" customFormat="false" ht="23.85" hidden="false" customHeight="false" outlineLevel="0" collapsed="false">
      <c r="A8" s="2" t="n">
        <v>7</v>
      </c>
      <c r="B8" s="2" t="s">
        <v>11</v>
      </c>
      <c r="C8" s="2" t="s">
        <v>25</v>
      </c>
      <c r="D8" s="2" t="s">
        <v>26</v>
      </c>
      <c r="E8" s="2" t="s">
        <v>27</v>
      </c>
      <c r="F8" s="3"/>
      <c r="G8" s="3"/>
      <c r="H8" s="4"/>
      <c r="I8" s="5"/>
      <c r="J8" s="3"/>
      <c r="K8" s="3"/>
    </row>
    <row r="9" customFormat="false" ht="23.85" hidden="false" customHeight="false" outlineLevel="0" collapsed="false">
      <c r="A9" s="2" t="n">
        <v>8</v>
      </c>
      <c r="B9" s="2" t="s">
        <v>11</v>
      </c>
      <c r="C9" s="2" t="s">
        <v>28</v>
      </c>
      <c r="D9" s="2" t="s">
        <v>29</v>
      </c>
      <c r="E9" s="2" t="s">
        <v>27</v>
      </c>
      <c r="F9" s="3"/>
      <c r="G9" s="3"/>
      <c r="H9" s="4"/>
      <c r="I9" s="5"/>
      <c r="J9" s="3"/>
      <c r="K9" s="3"/>
    </row>
    <row r="10" customFormat="false" ht="15" hidden="false" customHeight="false" outlineLevel="0" collapsed="false">
      <c r="A10" s="2" t="n">
        <v>9</v>
      </c>
      <c r="B10" s="2" t="s">
        <v>11</v>
      </c>
      <c r="C10" s="2" t="s">
        <v>30</v>
      </c>
      <c r="D10" s="2" t="s">
        <v>31</v>
      </c>
      <c r="E10" s="2" t="s">
        <v>27</v>
      </c>
      <c r="F10" s="3"/>
      <c r="G10" s="3"/>
      <c r="H10" s="4"/>
      <c r="I10" s="5"/>
      <c r="J10" s="3"/>
      <c r="K10" s="3"/>
    </row>
    <row r="11" customFormat="false" ht="23.85" hidden="false" customHeight="false" outlineLevel="0" collapsed="false">
      <c r="A11" s="2" t="n">
        <v>10</v>
      </c>
      <c r="B11" s="2" t="s">
        <v>11</v>
      </c>
      <c r="C11" s="2" t="s">
        <v>32</v>
      </c>
      <c r="D11" s="2" t="s">
        <v>33</v>
      </c>
      <c r="E11" s="2" t="s">
        <v>27</v>
      </c>
      <c r="F11" s="3"/>
      <c r="G11" s="3"/>
      <c r="H11" s="4"/>
      <c r="I11" s="5"/>
      <c r="J11" s="3"/>
      <c r="K11" s="3"/>
    </row>
    <row r="12" customFormat="false" ht="35.05" hidden="false" customHeight="false" outlineLevel="0" collapsed="false">
      <c r="A12" s="2" t="n">
        <v>11</v>
      </c>
      <c r="B12" s="2" t="s">
        <v>11</v>
      </c>
      <c r="C12" s="2" t="s">
        <v>34</v>
      </c>
      <c r="D12" s="2" t="s">
        <v>35</v>
      </c>
      <c r="E12" s="2" t="s">
        <v>27</v>
      </c>
      <c r="F12" s="3"/>
      <c r="G12" s="3"/>
      <c r="H12" s="4"/>
      <c r="I12" s="5"/>
      <c r="J12" s="3"/>
      <c r="K12" s="3"/>
    </row>
    <row r="13" customFormat="false" ht="23.85" hidden="false" customHeight="false" outlineLevel="0" collapsed="false">
      <c r="A13" s="2" t="n">
        <v>12</v>
      </c>
      <c r="B13" s="2" t="s">
        <v>11</v>
      </c>
      <c r="C13" s="2" t="s">
        <v>36</v>
      </c>
      <c r="D13" s="2" t="s">
        <v>37</v>
      </c>
      <c r="E13" s="2" t="s">
        <v>27</v>
      </c>
      <c r="F13" s="3"/>
      <c r="G13" s="3"/>
      <c r="H13" s="4"/>
      <c r="I13" s="5"/>
      <c r="J13" s="3"/>
      <c r="K13" s="3"/>
    </row>
    <row r="14" customFormat="false" ht="23.85" hidden="false" customHeight="false" outlineLevel="0" collapsed="false">
      <c r="A14" s="2" t="n">
        <v>13</v>
      </c>
      <c r="B14" s="2" t="s">
        <v>11</v>
      </c>
      <c r="C14" s="2" t="s">
        <v>38</v>
      </c>
      <c r="D14" s="2" t="s">
        <v>39</v>
      </c>
      <c r="E14" s="2" t="s">
        <v>27</v>
      </c>
      <c r="F14" s="3"/>
      <c r="G14" s="3"/>
      <c r="H14" s="4"/>
      <c r="I14" s="5"/>
      <c r="J14" s="3"/>
      <c r="K14" s="3"/>
    </row>
    <row r="15" customFormat="false" ht="35.05" hidden="false" customHeight="false" outlineLevel="0" collapsed="false">
      <c r="A15" s="2" t="n">
        <v>14</v>
      </c>
      <c r="B15" s="2" t="s">
        <v>11</v>
      </c>
      <c r="C15" s="2" t="s">
        <v>40</v>
      </c>
      <c r="D15" s="2" t="s">
        <v>41</v>
      </c>
      <c r="E15" s="2" t="s">
        <v>27</v>
      </c>
      <c r="F15" s="3"/>
      <c r="G15" s="3"/>
      <c r="H15" s="4"/>
      <c r="I15" s="5"/>
      <c r="J15" s="3"/>
      <c r="K15" s="3"/>
    </row>
    <row r="16" customFormat="false" ht="23.85" hidden="false" customHeight="false" outlineLevel="0" collapsed="false">
      <c r="A16" s="2" t="n">
        <v>15</v>
      </c>
      <c r="B16" s="2" t="s">
        <v>11</v>
      </c>
      <c r="C16" s="2" t="s">
        <v>42</v>
      </c>
      <c r="D16" s="2" t="s">
        <v>43</v>
      </c>
      <c r="E16" s="2" t="s">
        <v>44</v>
      </c>
      <c r="F16" s="3"/>
      <c r="G16" s="3"/>
      <c r="H16" s="4"/>
      <c r="I16" s="5"/>
      <c r="J16" s="3"/>
      <c r="K16" s="3"/>
    </row>
    <row r="17" customFormat="false" ht="15" hidden="false" customHeight="false" outlineLevel="0" collapsed="false">
      <c r="A17" s="2" t="n">
        <v>16</v>
      </c>
      <c r="B17" s="2" t="s">
        <v>11</v>
      </c>
      <c r="C17" s="2" t="s">
        <v>45</v>
      </c>
      <c r="D17" s="2" t="s">
        <v>46</v>
      </c>
      <c r="E17" s="2" t="s">
        <v>44</v>
      </c>
      <c r="F17" s="3"/>
      <c r="G17" s="3"/>
      <c r="H17" s="4"/>
      <c r="I17" s="5"/>
      <c r="J17" s="3"/>
      <c r="K17" s="3"/>
    </row>
    <row r="18" customFormat="false" ht="23.85" hidden="false" customHeight="false" outlineLevel="0" collapsed="false">
      <c r="A18" s="2" t="n">
        <v>17</v>
      </c>
      <c r="B18" s="2" t="s">
        <v>11</v>
      </c>
      <c r="C18" s="2" t="s">
        <v>47</v>
      </c>
      <c r="D18" s="2" t="s">
        <v>48</v>
      </c>
      <c r="E18" s="2" t="s">
        <v>44</v>
      </c>
      <c r="F18" s="3"/>
      <c r="G18" s="3"/>
      <c r="H18" s="4"/>
      <c r="I18" s="5"/>
      <c r="J18" s="3"/>
      <c r="K18" s="3"/>
    </row>
    <row r="19" customFormat="false" ht="35.05" hidden="false" customHeight="false" outlineLevel="0" collapsed="false">
      <c r="A19" s="2" t="n">
        <v>18</v>
      </c>
      <c r="B19" s="2" t="s">
        <v>11</v>
      </c>
      <c r="C19" s="2" t="s">
        <v>49</v>
      </c>
      <c r="D19" s="2" t="s">
        <v>50</v>
      </c>
      <c r="E19" s="2" t="s">
        <v>44</v>
      </c>
      <c r="F19" s="3"/>
      <c r="G19" s="3"/>
      <c r="H19" s="4"/>
      <c r="I19" s="5"/>
      <c r="J19" s="3"/>
      <c r="K19" s="3"/>
    </row>
    <row r="20" customFormat="false" ht="23.85" hidden="false" customHeight="false" outlineLevel="0" collapsed="false">
      <c r="A20" s="2" t="n">
        <v>19</v>
      </c>
      <c r="B20" s="2" t="s">
        <v>11</v>
      </c>
      <c r="C20" s="2" t="s">
        <v>51</v>
      </c>
      <c r="D20" s="2" t="s">
        <v>52</v>
      </c>
      <c r="E20" s="2" t="s">
        <v>44</v>
      </c>
      <c r="F20" s="3"/>
      <c r="G20" s="3"/>
      <c r="H20" s="4"/>
      <c r="I20" s="5"/>
      <c r="J20" s="3"/>
      <c r="K20" s="3"/>
    </row>
    <row r="21" customFormat="false" ht="23.85" hidden="false" customHeight="false" outlineLevel="0" collapsed="false">
      <c r="A21" s="2" t="n">
        <v>20</v>
      </c>
      <c r="B21" s="2" t="s">
        <v>11</v>
      </c>
      <c r="C21" s="2" t="s">
        <v>53</v>
      </c>
      <c r="D21" s="2" t="s">
        <v>54</v>
      </c>
      <c r="E21" s="2" t="s">
        <v>44</v>
      </c>
      <c r="F21" s="3"/>
      <c r="G21" s="3"/>
      <c r="H21" s="4"/>
      <c r="I21" s="5"/>
      <c r="J21" s="3"/>
      <c r="K21" s="3"/>
    </row>
    <row r="22" customFormat="false" ht="15" hidden="false" customHeight="false" outlineLevel="0" collapsed="false">
      <c r="A22" s="2" t="n">
        <v>21</v>
      </c>
      <c r="B22" s="2" t="s">
        <v>55</v>
      </c>
      <c r="C22" s="2" t="s">
        <v>56</v>
      </c>
      <c r="D22" s="2" t="s">
        <v>57</v>
      </c>
      <c r="E22" s="2" t="s">
        <v>58</v>
      </c>
      <c r="F22" s="3"/>
      <c r="G22" s="3"/>
      <c r="H22" s="4"/>
      <c r="I22" s="5"/>
      <c r="J22" s="3"/>
      <c r="K22" s="3"/>
    </row>
    <row r="23" customFormat="false" ht="23.85" hidden="false" customHeight="false" outlineLevel="0" collapsed="false">
      <c r="A23" s="2" t="n">
        <v>22</v>
      </c>
      <c r="B23" s="2" t="s">
        <v>55</v>
      </c>
      <c r="C23" s="2" t="s">
        <v>59</v>
      </c>
      <c r="D23" s="2" t="s">
        <v>60</v>
      </c>
      <c r="E23" s="2" t="s">
        <v>58</v>
      </c>
      <c r="F23" s="3"/>
      <c r="G23" s="3"/>
      <c r="H23" s="4"/>
      <c r="I23" s="5"/>
      <c r="J23" s="3"/>
      <c r="K23" s="3"/>
    </row>
    <row r="24" customFormat="false" ht="15" hidden="false" customHeight="false" outlineLevel="0" collapsed="false">
      <c r="A24" s="2" t="n">
        <v>23</v>
      </c>
      <c r="B24" s="2" t="s">
        <v>55</v>
      </c>
      <c r="C24" s="2" t="s">
        <v>61</v>
      </c>
      <c r="D24" s="2" t="s">
        <v>62</v>
      </c>
      <c r="E24" s="2" t="s">
        <v>58</v>
      </c>
      <c r="F24" s="3"/>
      <c r="G24" s="3"/>
      <c r="H24" s="4"/>
      <c r="I24" s="5"/>
      <c r="J24" s="3"/>
      <c r="K24" s="3"/>
    </row>
    <row r="25" customFormat="false" ht="23.85" hidden="false" customHeight="false" outlineLevel="0" collapsed="false">
      <c r="A25" s="2" t="n">
        <v>24</v>
      </c>
      <c r="B25" s="2" t="s">
        <v>55</v>
      </c>
      <c r="C25" s="2" t="s">
        <v>63</v>
      </c>
      <c r="D25" s="2" t="s">
        <v>64</v>
      </c>
      <c r="E25" s="2" t="s">
        <v>58</v>
      </c>
      <c r="F25" s="3"/>
      <c r="G25" s="3"/>
      <c r="H25" s="4"/>
      <c r="I25" s="5"/>
      <c r="J25" s="3"/>
      <c r="K25" s="3"/>
    </row>
    <row r="26" customFormat="false" ht="23.85" hidden="false" customHeight="false" outlineLevel="0" collapsed="false">
      <c r="A26" s="2" t="n">
        <v>25</v>
      </c>
      <c r="B26" s="2" t="s">
        <v>55</v>
      </c>
      <c r="C26" s="2" t="s">
        <v>65</v>
      </c>
      <c r="D26" s="2" t="s">
        <v>66</v>
      </c>
      <c r="E26" s="2" t="s">
        <v>58</v>
      </c>
      <c r="F26" s="3"/>
      <c r="G26" s="3"/>
      <c r="H26" s="4"/>
      <c r="I26" s="5"/>
      <c r="J26" s="3"/>
      <c r="K26" s="3"/>
    </row>
    <row r="27" customFormat="false" ht="23.85" hidden="false" customHeight="false" outlineLevel="0" collapsed="false">
      <c r="A27" s="2" t="n">
        <v>26</v>
      </c>
      <c r="B27" s="2" t="s">
        <v>55</v>
      </c>
      <c r="C27" s="2" t="s">
        <v>67</v>
      </c>
      <c r="D27" s="2" t="s">
        <v>68</v>
      </c>
      <c r="E27" s="2" t="s">
        <v>58</v>
      </c>
      <c r="F27" s="3"/>
      <c r="G27" s="3"/>
      <c r="H27" s="4"/>
      <c r="I27" s="5"/>
      <c r="J27" s="3"/>
      <c r="K27" s="3"/>
    </row>
    <row r="28" customFormat="false" ht="23.85" hidden="false" customHeight="false" outlineLevel="0" collapsed="false">
      <c r="A28" s="2" t="n">
        <v>27</v>
      </c>
      <c r="B28" s="2" t="s">
        <v>55</v>
      </c>
      <c r="C28" s="2" t="s">
        <v>69</v>
      </c>
      <c r="D28" s="2" t="s">
        <v>70</v>
      </c>
      <c r="E28" s="2" t="s">
        <v>58</v>
      </c>
      <c r="F28" s="3"/>
      <c r="G28" s="3"/>
      <c r="H28" s="4"/>
      <c r="I28" s="5"/>
      <c r="J28" s="3"/>
      <c r="K28" s="3"/>
    </row>
    <row r="29" customFormat="false" ht="23.85" hidden="false" customHeight="false" outlineLevel="0" collapsed="false">
      <c r="A29" s="2" t="n">
        <v>28</v>
      </c>
      <c r="B29" s="2" t="s">
        <v>55</v>
      </c>
      <c r="C29" s="2" t="s">
        <v>71</v>
      </c>
      <c r="D29" s="2" t="s">
        <v>72</v>
      </c>
      <c r="E29" s="2" t="s">
        <v>58</v>
      </c>
      <c r="F29" s="3"/>
      <c r="G29" s="3"/>
      <c r="H29" s="4"/>
      <c r="I29" s="5"/>
      <c r="J29" s="3"/>
      <c r="K29" s="3"/>
    </row>
  </sheetData>
  <conditionalFormatting sqref="J2:J29">
    <cfRule type="expression" priority="2" aboveAverage="0" equalAverage="0" bottom="0" percent="0" rank="0" text="" dxfId="0">
      <formula>$J2="Correcta"</formula>
    </cfRule>
    <cfRule type="expression" priority="3" aboveAverage="0" equalAverage="0" bottom="0" percent="0" rank="0" text="" dxfId="1">
      <formula>$J2="Parcial"</formula>
    </cfRule>
    <cfRule type="expression" priority="4" aboveAverage="0" equalAverage="0" bottom="0" percent="0" rank="0" text="" dxfId="2">
      <formula>$J2="Incorrecta"</formula>
    </cfRule>
  </conditionalFormatting>
  <dataValidations count="2">
    <dataValidation allowBlank="true" errorStyle="stop" operator="between" showDropDown="false" showErrorMessage="false" showInputMessage="false" sqref="G2:G29" type="list">
      <formula1>"Sí,No"</formula1>
      <formula2>0</formula2>
    </dataValidation>
    <dataValidation allowBlank="true" errorStyle="stop" operator="between" showDropDown="false" showErrorMessage="false" showInputMessage="false" sqref="J2:J29" type="list">
      <formula1>"Correcta,Parcial,Incorrecta"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6" t="s">
        <v>73</v>
      </c>
      <c r="B1" s="6" t="s">
        <v>11</v>
      </c>
      <c r="C1" s="6" t="s">
        <v>55</v>
      </c>
      <c r="D1" s="6" t="s">
        <v>74</v>
      </c>
    </row>
    <row r="2" customFormat="false" ht="15" hidden="false" customHeight="false" outlineLevel="0" collapsed="false">
      <c r="A2" s="7" t="s">
        <v>75</v>
      </c>
      <c r="B2" s="8" t="n">
        <f aca="false">COUNTIF(Preguntas!$B$2:$B$29,"Dentro del dominio")</f>
        <v>20</v>
      </c>
      <c r="C2" s="8" t="n">
        <f aca="false">COUNTIF(Preguntas!$B$2:$B$29,"Fuera del dominio")</f>
        <v>8</v>
      </c>
      <c r="D2" s="8" t="n">
        <f aca="false">B2+C2</f>
        <v>28</v>
      </c>
    </row>
    <row r="3" customFormat="false" ht="15" hidden="false" customHeight="false" outlineLevel="0" collapsed="false">
      <c r="A3" s="7" t="s">
        <v>76</v>
      </c>
      <c r="B3" s="8" t="n">
        <f aca="false">COUNTIFS(Preguntas!$B$2:$B$29,"Dentro del dominio",Preguntas!$J$2:$J$29,"&lt;&gt;")</f>
        <v>0</v>
      </c>
      <c r="C3" s="8" t="n">
        <f aca="false">COUNTIFS(Preguntas!$B$2:$B$29,"Fuera del dominio",Preguntas!$J$2:$J$29,"&lt;&gt;")</f>
        <v>0</v>
      </c>
      <c r="D3" s="8" t="n">
        <f aca="false">B3+C3</f>
        <v>0</v>
      </c>
    </row>
    <row r="4" customFormat="false" ht="15" hidden="false" customHeight="false" outlineLevel="0" collapsed="false">
      <c r="A4" s="7" t="s">
        <v>77</v>
      </c>
      <c r="B4" s="8" t="n">
        <f aca="false">COUNTIFS(Preguntas!$B$2:$B$29,"Dentro del dominio",Preguntas!$J$2:$J$29,"Correcta")</f>
        <v>0</v>
      </c>
      <c r="C4" s="8" t="n">
        <f aca="false">COUNTIFS(Preguntas!$B$2:$B$29,"Fuera del dominio",Preguntas!$J$2:$J$29,"Correcta")</f>
        <v>0</v>
      </c>
      <c r="D4" s="8" t="n">
        <f aca="false">B4+C4</f>
        <v>0</v>
      </c>
    </row>
    <row r="5" customFormat="false" ht="15" hidden="false" customHeight="false" outlineLevel="0" collapsed="false">
      <c r="A5" s="7" t="s">
        <v>78</v>
      </c>
      <c r="B5" s="8" t="n">
        <f aca="false">COUNTIFS(Preguntas!$B$2:$B$29,"Dentro del dominio",Preguntas!$J$2:$J$29,"Parcial")</f>
        <v>0</v>
      </c>
      <c r="C5" s="8" t="n">
        <f aca="false">COUNTIFS(Preguntas!$B$2:$B$29,"Fuera del dominio",Preguntas!$J$2:$J$29,"Parcial")</f>
        <v>0</v>
      </c>
      <c r="D5" s="8" t="n">
        <f aca="false">B5+C5</f>
        <v>0</v>
      </c>
    </row>
    <row r="6" customFormat="false" ht="15" hidden="false" customHeight="false" outlineLevel="0" collapsed="false">
      <c r="A6" s="7" t="s">
        <v>79</v>
      </c>
      <c r="B6" s="8" t="n">
        <f aca="false">COUNTIFS(Preguntas!$B$2:$B$29,"Dentro del dominio",Preguntas!$J$2:$J$29,"Incorrecta")</f>
        <v>0</v>
      </c>
      <c r="C6" s="8" t="n">
        <f aca="false">COUNTIFS(Preguntas!$B$2:$B$29,"Fuera del dominio",Preguntas!$J$2:$J$29,"Incorrecta")</f>
        <v>0</v>
      </c>
      <c r="D6" s="8" t="n">
        <f aca="false">B6+C6</f>
        <v>0</v>
      </c>
    </row>
    <row r="7" customFormat="false" ht="15" hidden="false" customHeight="false" outlineLevel="0" collapsed="false">
      <c r="A7" s="7" t="s">
        <v>80</v>
      </c>
      <c r="B7" s="9" t="str">
        <f aca="false">IFERROR(B4/B3,"")</f>
        <v/>
      </c>
      <c r="C7" s="9" t="str">
        <f aca="false">IFERROR(C4/C3,"")</f>
        <v/>
      </c>
      <c r="D7" s="9" t="str">
        <f aca="false">IFERROR(D4/D3,"")</f>
        <v/>
      </c>
    </row>
    <row r="8" customFormat="false" ht="15" hidden="false" customHeight="false" outlineLevel="0" collapsed="false">
      <c r="A8" s="7" t="s">
        <v>81</v>
      </c>
      <c r="B8" s="9" t="str">
        <f aca="false">IFERROR(COUNTIFS(Preguntas!$B$2:$B$29,"Dentro del dominio",Preguntas!$G$2:$G$29,"Sí")/B3,"")</f>
        <v/>
      </c>
      <c r="C8" s="9" t="str">
        <f aca="false">IFERROR(COUNTIFS(Preguntas!$B$2:$B$29,"Fuera del dominio",Preguntas!$G$2:$G$29,"No")/C3,"")</f>
        <v/>
      </c>
      <c r="D8" s="9" t="str">
        <f aca="false">IFERROR((COUNTIFS(Preguntas!$B$2:$B$29,"Dentro del dominio",Preguntas!$G$2:$G$29,"Sí")+COUNTIFS(Preguntas!$B$2:$B$29,"Fuera del dominio",Preguntas!$G$2:$G$29,"No"))/D3,"")</f>
        <v/>
      </c>
    </row>
    <row r="9" customFormat="false" ht="15" hidden="false" customHeight="false" outlineLevel="0" collapsed="false">
      <c r="A9" s="7" t="s">
        <v>82</v>
      </c>
      <c r="B9" s="10" t="str">
        <f aca="false">IFERROR(AVERAGEIFS(Preguntas!$H$2:$H$29,Preguntas!$B$2:$B$29,"Dentro del dominio"),"")</f>
        <v/>
      </c>
      <c r="C9" s="10" t="str">
        <f aca="false">IFERROR(AVERAGEIFS(Preguntas!$H$2:$H$29,Preguntas!$B$2:$B$29,"Fuera del dominio"),"")</f>
        <v/>
      </c>
      <c r="D9" s="10"/>
    </row>
    <row r="10" customFormat="false" ht="15" hidden="false" customHeight="false" outlineLevel="0" collapsed="false">
      <c r="A10" s="7" t="s">
        <v>83</v>
      </c>
      <c r="B10" s="10" t="n">
        <f aca="false">IFERROR(_xlfn.MINIFS(Preguntas!$H$2:$H$29,Preguntas!$B$2:$B$29,"Dentro del dominio"),"")</f>
        <v>0</v>
      </c>
      <c r="C10" s="10" t="n">
        <f aca="false">IFERROR(_xlfn.MINIFS(Preguntas!$H$2:$H$29,Preguntas!$B$2:$B$29,"Fuera del dominio"),"")</f>
        <v>0</v>
      </c>
      <c r="D10" s="10"/>
    </row>
    <row r="11" customFormat="false" ht="15" hidden="false" customHeight="false" outlineLevel="0" collapsed="false">
      <c r="A11" s="7" t="s">
        <v>84</v>
      </c>
      <c r="B11" s="10" t="n">
        <f aca="false">IFERROR(_xlfn.MAXIFS(Preguntas!$H$2:$H$29,Preguntas!$B$2:$B$29,"Dentro del dominio"),"")</f>
        <v>0</v>
      </c>
      <c r="C11" s="10" t="n">
        <f aca="false">IFERROR(_xlfn.MAXIFS(Preguntas!$H$2:$H$29,Preguntas!$B$2:$B$29,"Fuera del dominio"),"")</f>
        <v>0</v>
      </c>
      <c r="D11" s="10"/>
    </row>
    <row r="12" customFormat="false" ht="15" hidden="false" customHeight="false" outlineLevel="0" collapsed="false">
      <c r="A12" s="7" t="s">
        <v>85</v>
      </c>
      <c r="B12" s="11" t="str">
        <f aca="false">IFERROR(AVERAGEIFS(Preguntas!$I$2:$I$29,Preguntas!$B$2:$B$29,"Dentro del dominio"),"")</f>
        <v/>
      </c>
      <c r="C12" s="11" t="str">
        <f aca="false">IFERROR(AVERAGEIFS(Preguntas!$I$2:$I$29,Preguntas!$B$2:$B$29,"Fuera del dominio"),"")</f>
        <v/>
      </c>
      <c r="D12" s="11" t="str">
        <f aca="false">IFERROR(AVERAGE(Preguntas!$I$2:$I$29),"")</f>
        <v/>
      </c>
    </row>
    <row r="13" customFormat="false" ht="15" hidden="false" customHeight="false" outlineLevel="0" collapsed="false">
      <c r="A13" s="7" t="s">
        <v>86</v>
      </c>
      <c r="B13" s="10" t="n">
        <f aca="false">IF(AND(ISNUMBER(B10),ISNUMBER(C11)),(B10+C11)/2,"")</f>
        <v>0</v>
      </c>
      <c r="C13" s="10"/>
      <c r="D13" s="10"/>
    </row>
    <row r="15" customFormat="false" ht="15" hidden="false" customHeight="true" outlineLevel="0" collapsed="false">
      <c r="A15" s="12" t="s">
        <v>87</v>
      </c>
      <c r="B15" s="12"/>
      <c r="C15" s="12"/>
      <c r="D15" s="12"/>
    </row>
    <row r="16" customFormat="false" ht="15" hidden="false" customHeight="false" outlineLevel="0" collapsed="false">
      <c r="A16" s="12"/>
      <c r="B16" s="12"/>
      <c r="C16" s="12"/>
      <c r="D16" s="12"/>
    </row>
    <row r="17" customFormat="false" ht="15" hidden="false" customHeight="false" outlineLevel="0" collapsed="false">
      <c r="A17" s="12"/>
      <c r="B17" s="12"/>
      <c r="C17" s="12"/>
      <c r="D17" s="12"/>
    </row>
    <row r="18" customFormat="false" ht="15" hidden="false" customHeight="false" outlineLevel="0" collapsed="false">
      <c r="A18" s="12"/>
      <c r="B18" s="12"/>
      <c r="C18" s="12"/>
      <c r="D18" s="12"/>
    </row>
    <row r="19" customFormat="false" ht="15" hidden="false" customHeight="false" outlineLevel="0" collapsed="false">
      <c r="A19" s="12"/>
      <c r="B19" s="12"/>
      <c r="C19" s="12"/>
      <c r="D19" s="12"/>
    </row>
  </sheetData>
  <mergeCells count="1">
    <mergeCell ref="A15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3" t="s">
        <v>88</v>
      </c>
    </row>
    <row r="2" customFormat="false" ht="15" hidden="false" customHeight="false" outlineLevel="0" collapsed="false">
      <c r="A2" s="14" t="s">
        <v>89</v>
      </c>
    </row>
    <row r="3" customFormat="false" ht="15" hidden="false" customHeight="false" outlineLevel="0" collapsed="false">
      <c r="A3" s="14" t="s">
        <v>90</v>
      </c>
    </row>
    <row r="4" customFormat="false" ht="15" hidden="false" customHeight="false" outlineLevel="0" collapsed="false">
      <c r="A4" s="14" t="s">
        <v>91</v>
      </c>
    </row>
    <row r="5" customFormat="false" ht="23.85" hidden="false" customHeight="false" outlineLevel="0" collapsed="false">
      <c r="A5" s="14" t="s">
        <v>92</v>
      </c>
    </row>
    <row r="6" customFormat="false" ht="15" hidden="false" customHeight="false" outlineLevel="0" collapsed="false">
      <c r="A6" s="14" t="s">
        <v>93</v>
      </c>
    </row>
    <row r="7" customFormat="false" ht="15" hidden="false" customHeight="false" outlineLevel="0" collapsed="false">
      <c r="A7" s="14" t="s">
        <v>94</v>
      </c>
    </row>
    <row r="8" customFormat="false" ht="15" hidden="false" customHeight="false" outlineLevel="0" collapsed="false">
      <c r="A8" s="14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2026-10-19T17:20:53Z</dcterms:created>
  <dc:creator>openpyxl</dc:creator>
  <dc:description/>
  <dc:language>en-US</dc:language>
  <cp:lastModifiedBy/>
  <dcterms:modified xsi:type="dcterms:W3CDTF">2026-10-19T17:20:53Z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